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จ้งเตือน" sheetId="1" state="visible" r:id="rId3"/>
    <sheet name="คำนวณ" sheetId="2" state="visible" r:id="rId4"/>
    <sheet name="ภาคสนาม" sheetId="3" state="visible" r:id="rId5"/>
    <sheet name="ตรวจ % MED" sheetId="4" state="visible" r:id="rId6"/>
    <sheet name="กล้อง" sheetId="5" state="visible" r:id="rId7"/>
    <sheet name="ปัญหาที่พบ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<sst xmlns="http://schemas.openxmlformats.org/spreadsheetml/2006/main" count="296" uniqueCount="237">
  <si>
    <t xml:space="preserve">UV Guard: บันทึกผลทดสอบการแจ้งเตือนบนมือถือจริง (4 ต.ค. 2026, development build)</t>
  </si>
  <si>
    <t xml:space="preserve">ช่องสีเหลือง = ให้กรอกเอง · คอลัมน์ "ช้า (นาที)" คำนวณเอง ไม่ต้องกรอก · แถว "UV สูง" เป็นผลจริงและใช้เป็นตัวอย่างรูปแบบการกรอก (เวลาพิมพ์เป็น ชม.:นาที เช่น 10:06)</t>
  </si>
  <si>
    <t xml:space="preserve">รุ่นมือถือ</t>
  </si>
  <si>
    <t xml:space="preserve">Samsung Galaxy S23 Ultra</t>
  </si>
  <si>
    <t xml:space="preserve">เวอร์ชัน Android</t>
  </si>
  <si>
    <t xml:space="preserve">Android 16 (One UI 8.5)</t>
  </si>
  <si>
    <t xml:space="preserve">commit ที่ใช้ build</t>
  </si>
  <si>
    <t xml:space="preserve">da9057a</t>
  </si>
  <si>
    <t xml:space="preserve">JS ที่ทดสอบช่วงเช้าโหลดผ่าน Metro จาก da9057a · ช่วง 15:37 จาก c6b05db · แก้ล่าสุด d2b1762</t>
  </si>
  <si>
    <t xml:space="preserve">EAS build ID</t>
  </si>
  <si>
    <t xml:space="preserve">791d5b3f-0cae-4f81-ae9d-6a36e527433b</t>
  </si>
  <si>
    <t xml:space="preserve">เกณฑ์เตือนที่ตั้ง</t>
  </si>
  <si>
    <t xml:space="preserve">สูงมาก (8+)</t>
  </si>
  <si>
    <t xml:space="preserve">ประเภทผิว</t>
  </si>
  <si>
    <t xml:space="preserve">III</t>
  </si>
  <si>
    <t xml:space="preserve">ประเภทการแจ้งเตือน</t>
  </si>
  <si>
    <t xml:space="preserve">เวลาที่กด / เปิดแอป</t>
  </si>
  <si>
    <t xml:space="preserve">เวลาที่ตั้ง</t>
  </si>
  <si>
    <t xml:space="preserve">เวลาที่ได้รับจริง</t>
  </si>
  <si>
    <t xml:space="preserve">ช้า (นาที)</t>
  </si>
  <si>
    <t xml:space="preserve">เสียบชาร์จ?</t>
  </si>
  <si>
    <t xml:space="preserve">โหมดประหยัดแบต?</t>
  </si>
  <si>
    <t xml:space="preserve">กดแล้วเปิดแอป?</t>
  </si>
  <si>
    <t xml:space="preserve">แคปหน้าจอ?</t>
  </si>
  <si>
    <t xml:space="preserve">หมายเหตุ</t>
  </si>
  <si>
    <t xml:space="preserve">UV สูง (จากพยากรณ์)</t>
  </si>
  <si>
    <t xml:space="preserve">ใช่</t>
  </si>
  <si>
    <t xml:space="preserve">ไม่ได้แคป (กดเปิดไปก่อน)</t>
  </si>
  <si>
    <t xml:space="preserve">ผลจริง · หลังเปิดแอป หน้าหลักแสดง UVI 7.1 (6.0–8.1) และแถบ "เตือนตามค่าบน (q90) 8.1: ระดับสูงมาก" · ไม่ได้ขอ SCHEDULE_EXACT_ALARM จึงช้าได้</t>
  </si>
  <si>
    <t xml:space="preserve">ทาครีมซ้ำ (2 ชม.)</t>
  </si>
  <si>
    <t xml:space="preserve">แคปแล้ว (11:54)</t>
  </si>
  <si>
    <t xml:space="preserve">ผลจริง · กด "ทาครีมแล้ว" ราว 09:52 แอปแสดง "จะเตือนทาครีมซ้ำราว 11:52" · ได้รับ 11:54 หัวข้อ "ถึงเวลาทาครีมกันแดดซ้ำ" · ภาพแคปสะอาด ใช้ในรายงานได้</t>
  </si>
  <si>
    <t xml:space="preserve">ออกแดด รอบ 1 (80% ของ MED)</t>
  </si>
  <si>
    <t xml:space="preserve">ไม่มี (ไม่เด้ง)</t>
  </si>
  <si>
    <t xml:space="preserve">สรุปไม่ได้ · กด "ออกแดด" 10:08 แอปแสดง "จะเตือนราว 10:31" ตรงกับสูตร แต่ถึง 10:33 ยังไม่เด้ง (เปิดแอปค้างอยู่บนจอ) · แอปมีตัวจัดการแจ้งเตือนตอนเปิดแอปอยู่แล้ว จึงไม่ใช่สาเหตุ · สาเหตุที่เป็นไปได้: (1) ระบบส่งช้าเหมือนรายการอื่น (2) บั๊กข้อ 2 ในแท็บ ปัญหาที่พบ · 10:37 กดปุ่มซ้ำตามคำแนะนำ ทำให้รายการที่ค้างถูกยกเลิก จึงพิสูจน์ต่อไม่ได้</t>
  </si>
  <si>
    <t xml:space="preserve">ออกแดด รอบ 2 (80% ของ MED)</t>
  </si>
  <si>
    <t xml:space="preserve">แคปแล้ว (11:51) ต้องครอบภาพก่อนใช้</t>
  </si>
  <si>
    <t xml:space="preserve">ผลจริง · การ์ดแสดง "อยู่กลางแดดตั้งแต่ 11:21" · ได้รับ 11:51 หัวข้อ "ใกล้ถึงเวลาผิวไหม้ (ประมาณ)" · ช่อง "เวลาที่ตั้ง" ยังว่าง เพราะไม่ได้จดเวลาที่แอปบอกว่าจะเตือน · ตามสูตรควรเป็นราว 11:40 (แท็บ คำนวณ ส่วนรอบที่ 2) ถ้าใช่ = ช้าราว 11 นาที · ภาพแคปมีแจ้งเตือนของแอปอื่นปนอยู่</t>
  </si>
  <si>
    <t xml:space="preserve">ปลอดภัยแล้ว (UV ลดลง)</t>
  </si>
  <si>
    <t xml:space="preserve">–</t>
  </si>
  <si>
    <t xml:space="preserve">น่าจะเปิด (ไอคอนใบไม้ในภาพ รอยืนยัน)</t>
  </si>
  <si>
    <t xml:space="preserve">ไม่ได้จด</t>
  </si>
  <si>
    <t xml:space="preserve">แคปแล้ว (15:27)</t>
  </si>
  <si>
    <t xml:space="preserve">ผลจริง · หัวข้อ "UV ลดลงแล้ว ตั้งแต่ 15:00" ข้อความ "ค่าประมาณ UVI 2.6 (ค่าบน 3.0) ต่ำกว่า 6 แล้ว" · เกณฑ์ปลอดภัย = เกณฑ์เตือน 8 − 2 = 6 ตรงตามที่ออกแบบ · ได้รับ 15:09 · ภาพแคปมีแจ้งเตือนเดียว ใช้ในรายงานได้ (ครอบชื่อเครือข่ายด้านบนออกได้)</t>
  </si>
  <si>
    <t xml:space="preserve">สรุป UV 07:00 (เช้าวันถัดไป)</t>
  </si>
  <si>
    <t xml:space="preserve">07:00 คือเวลาที่ออกแบบไว้ ไม่ใช่ผลทดสอบ</t>
  </si>
  <si>
    <t xml:space="preserve">สรุป</t>
  </si>
  <si>
    <t xml:space="preserve">จำนวนที่ได้รับแล้ว</t>
  </si>
  <si>
    <t xml:space="preserve">ช้าเฉลี่ย (นาที)</t>
  </si>
  <si>
    <t xml:space="preserve">นับเฉพาะแถวที่มีทั้งเวลาที่ตั้งและเวลาที่ได้รับ</t>
  </si>
  <si>
    <t xml:space="preserve">ช้าสูงสุด (นาที)</t>
  </si>
  <si>
    <t xml:space="preserve">ช้าสูงสุด ถ้านับรอบ 2 ตามสูตร</t>
  </si>
  <si>
    <t xml:space="preserve">เวลาที่ตั้งของรอบ 2 มาจากสูตร ไม่ได้อ่านจากแอป จึงยังไม่ยืนยัน</t>
  </si>
  <si>
    <t xml:space="preserve">ยังต้องจด: ตอนแจ้งเตือนแต่ละรายการมา (10:06, 11:51, 11:54, 15:09) มือถือเสียบชาร์จอยู่ไหม และโหมดประหยัดแบตเปิดอยู่ไหม (ช่องสีเหลืองคอลัมน์ F และ G) · ภาพ 13:20, 13:39, 15:27 มีไอคอนใบไม้ที่แบตเตอรี่ จึงน่าจะเปิดโหมดประหยัดพลังงานอยู่</t>
  </si>
  <si>
    <t xml:space="preserve">วิธีแคปแจ้งเตือนรอบหน้า: อย่ากดที่ตัวแจ้งเตือน → ลากแถบด้านบนลงมา → กด Power + ลดเสียง พร้อมกัน → แล้วค่อยกดแจ้งเตือน</t>
  </si>
  <si>
    <t xml:space="preserve">ตรวจตัวเลขของแอปด้วยสูตร (แก้ช่องสีเหลืองแล้วผลลัพธ์เปลี่ยนตาม)</t>
  </si>
  <si>
    <t xml:space="preserve">รายการ</t>
  </si>
  <si>
    <t xml:space="preserve">ค่า</t>
  </si>
  <si>
    <t xml:space="preserve">หน่วย</t>
  </si>
  <si>
    <t xml:space="preserve">ที่มา / หมายเหตุ</t>
  </si>
  <si>
    <t xml:space="preserve">MED ของผิวประเภท III</t>
  </si>
  <si>
    <t xml:space="preserve">J/m²</t>
  </si>
  <si>
    <t xml:space="preserve">หน้าผลแบบสอบถามในแอป: "MED 350 J/m²"</t>
  </si>
  <si>
    <t xml:space="preserve">สัดส่วนที่แจ้งเตือน</t>
  </si>
  <si>
    <t xml:space="preserve">ของ MED</t>
  </si>
  <si>
    <t xml:space="preserve">แอปเตือนที่ประมาณ 80% ของ MED (ROADMAP วัน 22)</t>
  </si>
  <si>
    <t xml:space="preserve">ค่าบนของ UVI (q90) ชั่วโมง 10:00–11:00 (รอบ 1)</t>
  </si>
  <si>
    <t xml:space="preserve">UVI</t>
  </si>
  <si>
    <t xml:space="preserve">หน้าหลัก 10:06: "ช่วงที่น่าจะเป็น (q10–q90): 6.0–8.1"</t>
  </si>
  <si>
    <t xml:space="preserve">ตัวคูณ UVI → W/m²</t>
  </si>
  <si>
    <t xml:space="preserve">W/m² ต่อ 1 UVI</t>
  </si>
  <si>
    <t xml:space="preserve">นิยาม UV Index: 1 UVI = 0.025 W/m² (erythemal)</t>
  </si>
  <si>
    <t xml:space="preserve">เวลาที่กด "ออกแดด" (รอบ 1)</t>
  </si>
  <si>
    <t xml:space="preserve">ชม.:นาที</t>
  </si>
  <si>
    <t xml:space="preserve">จากการ์ด "อยู่กลางแจ้ง": "อยู่กลางแดดตั้งแต่ 10:08"</t>
  </si>
  <si>
    <t xml:space="preserve">ผลลัพธ์</t>
  </si>
  <si>
    <t xml:space="preserve">สูตร</t>
  </si>
  <si>
    <t xml:space="preserve">ปริมาณ UV ที่จะเตือน</t>
  </si>
  <si>
    <t xml:space="preserve">MED × สัดส่วน</t>
  </si>
  <si>
    <t xml:space="preserve">ความเข้มที่ใช้คิด</t>
  </si>
  <si>
    <t xml:space="preserve">W/m²</t>
  </si>
  <si>
    <t xml:space="preserve">q90 × 0.025</t>
  </si>
  <si>
    <t xml:space="preserve">เวลาจนถึง 80% ของ MED</t>
  </si>
  <si>
    <t xml:space="preserve">วินาที</t>
  </si>
  <si>
    <t xml:space="preserve">ปริมาณ ÷ ความเข้ม</t>
  </si>
  <si>
    <t xml:space="preserve">นาที</t>
  </si>
  <si>
    <t xml:space="preserve">วินาที ÷ 60</t>
  </si>
  <si>
    <t xml:space="preserve">เวลาที่แอปควรบอกว่าจะเตือน</t>
  </si>
  <si>
    <t xml:space="preserve">เวลาที่กด + เวลาจนถึง 80% (ใช้ได้เมื่อยังอยู่ในชั่วโมงเดียวกัน ถ้าข้ามชั่วโมง แอปจะสะสมด้วย UVI ของชั่วโมงถัดไป)</t>
  </si>
  <si>
    <t xml:space="preserve">เวลาก่อนผิวไหม้ (เต็ม MED)</t>
  </si>
  <si>
    <t xml:space="preserve">MED ÷ ความเข้ม ÷ 60</t>
  </si>
  <si>
    <t xml:space="preserve">ตัวอย่าง: ถ้ากด 10:08 ที่ q90 = 8.1 จะได้ 280 ÷ 0.2025 ≈ 1,383 วินาที ≈ 23 นาที → ราว 10:31</t>
  </si>
  <si>
    <t xml:space="preserve">รอบที่ 2 (ออกแดด 11:21)</t>
  </si>
  <si>
    <t xml:space="preserve">ที่มา / สูตร</t>
  </si>
  <si>
    <t xml:space="preserve">ค่าบนของ UVI (q90) ชั่วโมง 11:00–12:00</t>
  </si>
  <si>
    <t xml:space="preserve">หน้าหลัก 12:00: 8.7 (ช่วงที่น่าจะเป็น 7.4–9.7)</t>
  </si>
  <si>
    <t xml:space="preserve">เวลาที่กด "ออกแดด"</t>
  </si>
  <si>
    <t xml:space="preserve">การ์ด "อยู่กลางแจ้ง": "อยู่กลางแดดตั้งแต่ 11:21"</t>
  </si>
  <si>
    <t xml:space="preserve">ปริมาณ ÷ ความเข้ม ÷ 60</t>
  </si>
  <si>
    <t xml:space="preserve">เวลาที่กด + เวลาจนถึง 80% (อยู่ในชั่วโมง 11:00–12:00 ทั้งช่วง จึงใช้ q90 ค่าเดียวได้)</t>
  </si>
  <si>
    <t xml:space="preserve">เวลาที่ได้รับแจ้งเตือนจริง</t>
  </si>
  <si>
    <t xml:space="preserve">ดึงจากแท็บ แจ้งเตือน แถวออกแดด รอบ 2</t>
  </si>
  <si>
    <t xml:space="preserve">ช้าตามสูตร</t>
  </si>
  <si>
    <t xml:space="preserve">ยังไม่ยืนยัน: ต้องเทียบกับเวลาที่แอปแสดงบนการ์ดตอนกดออกแดด ซึ่งไม่ได้จดไว้</t>
  </si>
  <si>
    <t xml:space="preserve">MED ÷ ความเข้ม ÷ 60 · แอปแสดง 24 นาที ตอน 12:00</t>
  </si>
  <si>
    <t xml:space="preserve">ตารางภาคสนาม: ค่าแสง 4 สภาพ และ UVI ของแอปเทียบกับ Open-Meteo (จดด้วยมือ)</t>
  </si>
  <si>
    <t xml:space="preserve">วางมือถือหงายขึ้นฟ้า (เอียงไม่เกิน 15°) ก่อนจดค่า lux · ช่องสีเหลือง = ยังต้องกรอก · แถวสีเทาเป็นค่าจาก 1 ต.ค. ที่เอียงเกิน จึงใช้ไม่ได้ · สถานที่เดียว: ปทุมธานี 4 ต.ค. 2026 มือถือ Galaxy S23 Ultra (Android 16, One UI 8.5)</t>
  </si>
  <si>
    <t xml:space="preserve">สภาพ</t>
  </si>
  <si>
    <t xml:space="preserve">เวลา</t>
  </si>
  <si>
    <t xml:space="preserve">lux</t>
  </si>
  <si>
    <t xml:space="preserve">เอียง (°)</t>
  </si>
  <si>
    <t xml:space="preserve">ทิศทางถูกต้อง?</t>
  </si>
  <si>
    <t xml:space="preserve">ท้องฟ้า</t>
  </si>
  <si>
    <t xml:space="preserve">UVI แอป (ค่ากลาง)</t>
  </si>
  <si>
    <t xml:space="preserve">q10</t>
  </si>
  <si>
    <t xml:space="preserve">q90</t>
  </si>
  <si>
    <t xml:space="preserve">UVI Open-Meteo</t>
  </si>
  <si>
    <t xml:space="preserve">ผลต่าง (แอป − Open-Meteo)</t>
  </si>
  <si>
    <t xml:space="preserve">ตัวอย่าง (1 ต.ค.)</t>
  </si>
  <si>
    <t xml:space="preserve">เอียง 30° แอปเตือนว่าเอียงเกินไป ค่านี้ใช้ไม่ได้</t>
  </si>
  <si>
    <t xml:space="preserve">กลางแดด</t>
  </si>
  <si>
    <t xml:space="preserve">12:00–12:04</t>
  </si>
  <si>
    <t xml:space="preserve">เมฆบางส่วน</t>
  </si>
  <si>
    <t xml:space="preserve">ต่ำกว่าที่คาดสำหรับแดดจัด (แดดตรงมักเกิน 50,000 lux) อาจเพราะเมฆบังดวงอาทิตย์ หรือเซนเซอร์/แอปมีเพดาน ยังสรุปไม่ได้</t>
  </si>
  <si>
    <t xml:space="preserve">ร่มไม้</t>
  </si>
  <si>
    <t xml:space="preserve">UVI ของแอปเป็นค่าพยากรณ์ของจังหวัด ไม่ได้ลดตามร่มเงา</t>
  </si>
  <si>
    <t xml:space="preserve">ใต้หลังคา</t>
  </si>
  <si>
    <t xml:space="preserve">เช่นเดียวกับแถวร่มไม้</t>
  </si>
  <si>
    <t xml:space="preserve">ในบ้าน</t>
  </si>
  <si>
    <t xml:space="preserve">น่าสงสัย: ในบ้านปกติควรได้หลักสิบถึงหลักร้อย lux · ต้องทดสอบเซนเซอร์ 3 ขั้น (ดูแท็บ ปัญหาที่พบ ข้อ 4)</t>
  </si>
  <si>
    <t xml:space="preserve">หมายเหตุ: ค่า lux ยังไม่ได้ปรับเทียบ ใช้ดูเท่านั้น ไม่เปลี่ยนค่า UVI · ถ่ายท้องฟ้าเพื่อเดโมเท่านั้น ไม่นำภาพไปฝึกโมเดล</t>
  </si>
  <si>
    <t xml:space="preserve">UVI แอป 8.7 (7.4–9.7) อ่านจากหน้าหลักตอน 12:00 ซึ่งยังติดป้ายชั่วโมง 11:00–12:00 (ปัญหาข้อ 3) · ช่อง UVI Open-Meteo: เปิด open-meteo.com ดูค่า UV index ของปทุมธานีชั่วโมงเดียวกัน แล้วกรอกช่องสีเหลือง</t>
  </si>
  <si>
    <t xml:space="preserve">มีค่า 123 lux อีก 1 ภาพ (12:00–12:04) ที่ยังไม่ได้ระบุว่าวัดที่ไหน จึงไม่ได้ใส่ในตาราง</t>
  </si>
  <si>
    <t xml:space="preserve">ตรวจตัวเลข "ได้รับ UV แล้วประมาณ … % ของ MED" บนการ์ดอยู่กลางแจ้ง</t>
  </si>
  <si>
    <t xml:space="preserve">ค่าคาด = นาทีที่ผ่านไป × 60 × (q90 × 0.025) ÷ MED · แถว 1 ใช้ q90 = 8.1 แถว 2 ใช้ q90 = 9.7 แถว 3 ใช้ q90 = 3.0 (ใส่ตรงในสูตร)</t>
  </si>
  <si>
    <t xml:space="preserve">เวลาที่ดูหน้าจอ</t>
  </si>
  <si>
    <t xml:space="preserve">เวลาที่กดออกแดด</t>
  </si>
  <si>
    <t xml:space="preserve">นาทีที่ผ่านไป</t>
  </si>
  <si>
    <t xml:space="preserve">% ที่แอปแสดง</t>
  </si>
  <si>
    <t xml:space="preserve">% ที่คาดจากสูตร</t>
  </si>
  <si>
    <t xml:space="preserve">ผลต่าง (แอป − คาด)</t>
  </si>
  <si>
    <t xml:space="preserve">สถานะ</t>
  </si>
  <si>
    <t xml:space="preserve">เปิดแอปค้างอยู่ / เพิ่งกลับมาจากล็อกจอ</t>
  </si>
  <si>
    <t xml:space="preserve">เพิ่งกลับมาเปิดแอป</t>
  </si>
  <si>
    <t xml:space="preserve">ผลจริง: แอปแสดง 79 % ซึ่งเป็นค่าของช่วงราว 10:30–10:31 สงสัยว่าไม่คำนวณซ้ำทันทีเมื่อกลับมาจากล็อกจอ (แสดงน้อยกว่าจริง = ผิดไปทางที่ไม่ปลอดภัย)</t>
  </si>
  <si>
    <t xml:space="preserve">ผลจริง รอบ 2 (ออกแดด 11:21): แอปแสดง 160 % สูตรได้ 162 % ต่างกันในระดับการปัดนาที = ตรง</t>
  </si>
  <si>
    <t xml:space="preserve">หลังแก้บั๊ก (commit c6b05db) ใน development build: ออกแดด 15:37 ค่าบน 3.0 แอปแสดง 2 % สูตรได้ 2.6 % = ตรง</t>
  </si>
  <si>
    <t xml:space="preserve">ข้อจำกัดของการตรวจนี้: เวลาบนจอละเอียดแค่ระดับนาที ค่าคาดจึงคลาดได้ราว ±4 จุดเปอร์เซ็นต์ที่ q90 = 8.1 · เกณฑ์ "ตรง" ตั้งไว้ที่ ±3 จุด · ถ้าข้ามชั่วโมง แอปจะสะสมด้วย UVI ของชั่วโมงถัดไป ค่าคาดในตารางนี้จะต่ำไป</t>
  </si>
  <si>
    <t xml:space="preserve">ผลถ่ายท้องฟ้าด้วยมือถือจริง (CNN ใช้แสดงผลเท่านั้น ไม่เปลี่ยนค่า UVI)</t>
  </si>
  <si>
    <t xml:space="preserve">ภาพที่ถ่ายในแอปไม่นำไปฝึกโมเดล · ช่องสีเหลือง = ยังต้องกรอก</t>
  </si>
  <si>
    <t xml:space="preserve">ภาพ</t>
  </si>
  <si>
    <t xml:space="preserve">วันที่</t>
  </si>
  <si>
    <t xml:space="preserve">ป้ายมุมต่ำ (&lt; 30°)</t>
  </si>
  <si>
    <t xml:space="preserve">ประเภทเมฆ (CNN)</t>
  </si>
  <si>
    <t xml:space="preserve">ความมั่นใจ</t>
  </si>
  <si>
    <t xml:space="preserve">ปริมาณเมฆ (โมเดล)</t>
  </si>
  <si>
    <t xml:space="preserve">ค่า red/blue</t>
  </si>
  <si>
    <t xml:space="preserve">ท้องฟ้าจริง (ตาเห็น)</t>
  </si>
  <si>
    <t xml:space="preserve">has_exif ใน log ของ API</t>
  </si>
  <si>
    <t xml:space="preserve">1–2</t>
  </si>
  <si>
    <t xml:space="preserve">1 ต.ค.</t>
  </si>
  <si>
    <t xml:space="preserve">เมฆบางสีขาว</t>
  </si>
  <si>
    <t xml:space="preserve">2 ภาพ ได้ผลเหมือนกัน</t>
  </si>
  <si>
    <t xml:space="preserve">3</t>
  </si>
  <si>
    <t xml:space="preserve">4 ต.ค.</t>
  </si>
  <si>
    <t xml:space="preserve">แสดง (ถ่ายที่ 28°)</t>
  </si>
  <si>
    <t xml:space="preserve">มาก</t>
  </si>
  <si>
    <t xml:space="preserve">False (ไม่มี EXIF ถึงเซิร์ฟเวอร์)</t>
  </si>
  <si>
    <t xml:space="preserve">มุมต่ำ เห็นขอบฟ้าและสิ่งปลูกสร้างได้ง่าย</t>
  </si>
  <si>
    <t xml:space="preserve">4</t>
  </si>
  <si>
    <t xml:space="preserve">ไม่แสดง</t>
  </si>
  <si>
    <t xml:space="preserve">5</t>
  </si>
  <si>
    <t xml:space="preserve">ฟ้าใสสีฟ้า (ภาพตรวจ)</t>
  </si>
  <si>
    <t xml:space="preserve">ภาพตรวจ: เล็งส่วนของฟ้าที่ไม่มีเมฆ ถ้ายังได้ "เมฆบางสีขาว 100 %" แสดงว่าโมเดลไม่แยกแยะภาพจากมือถือ</t>
  </si>
  <si>
    <t xml:space="preserve">ข้อสังเกต</t>
  </si>
  <si>
    <t xml:space="preserve">จำนวนภาพที่ได้ "เมฆบางสีขาว" ที่ 100 %</t>
  </si>
  <si>
    <t xml:space="preserve">จาก</t>
  </si>
  <si>
    <t xml:space="preserve">ทุกภาพจากมือถือได้ประเภทเดียวกันที่ความมั่นใจ 100 % ทั้งที่ท้องฟ้าจริงเป็นเมฆบางส่วน สงสัยว่าเป็น domain shift: โมเดลฝึกจาก SWIMCAT-ext (ภาพจากอินเทอร์เน็ต) ส่วนภาพมือถือมีมุมมอง สี และสิ่งปลูกสร้างต่างออกไป · 4 ภาพยังน้อยเกินจะสรุป · ควรเขียนในหัวข้อข้อจำกัดของรายงาน</t>
  </si>
  <si>
    <t xml:space="preserve">ผลบนชุดทดสอบ (SWIMCAT-ext 6 ประเภท 0.975) จึงไม่ได้รับประกันผลบนภาพจากมือถือ</t>
  </si>
  <si>
    <t xml:space="preserve">log ของ API (uvicorn) มี "sky-image upload has_exif=False" 2 บรรทัด ตรงกับ 2 ภาพของวันนี้ และตอบ 200 OK ทั้งคู่ · log ไม่มีเวลากำกับ จึงจับคู่ภาพกับบรรทัดตามลำดับ</t>
  </si>
  <si>
    <t xml:space="preserve">ปัญหาและข้อสังเกตจากการทดสอบ 4 ต.ค. 2026</t>
  </si>
  <si>
    <t xml:space="preserve">"ชนิด" แยกบั๊กของโค้ดออกจากข้อจำกัดที่ต้องเขียนลงรายงาน · ข้อ 9 ในตารางนี้คือ "บั๊กข้อ 4" ในตาราง Q ของ report.md</t>
  </si>
  <si>
    <t xml:space="preserve">#</t>
  </si>
  <si>
    <t xml:space="preserve">ชนิด</t>
  </si>
  <si>
    <t xml:space="preserve">ปัญหา</t>
  </si>
  <si>
    <t xml:space="preserve">หลักฐาน</t>
  </si>
  <si>
    <t xml:space="preserve">ผลกระทบ</t>
  </si>
  <si>
    <t xml:space="preserve">สาเหตุ / แนวทาง</t>
  </si>
  <si>
    <t xml:space="preserve">บั๊ก</t>
  </si>
  <si>
    <t xml:space="preserve">การ์ดอยู่กลางแจ้งแสดง % ของ MED ค้างค่าเก่าหลังกลับจากล็อกจอ</t>
  </si>
  <si>
    <t xml:space="preserve">10:33 แอปแสดง 79 % สูตรได้ 87 % และไม่ขึ้นข้อความ "ถึง 80 % แล้ว"</t>
  </si>
  <si>
    <t xml:space="preserve">แสดงน้อยกว่าจริง = ผิดไปทางที่ไม่ปลอดภัย</t>
  </si>
  <si>
    <t xml:space="preserve">SunSessionCard คำนวณซ้ำด้วย setInterval ทุก 60 วินาทีเท่านั้น ไม่ฟัง AppState · แก้: hook useNow (interval + AppState active) พร้อมเทสต์ fake timers</t>
  </si>
  <si>
    <t xml:space="preserve">แก้แล้ว commit c6b05db · บนมือถือ 15:37–15:39 % ขยับ 0 → 2 % (ล็อกจอหรือไม่: ไม่ได้จด)</t>
  </si>
  <si>
    <t xml:space="preserve">แจ้งเตือนที่เลยเวลาแล้วแต่ระบบยังไม่ส่ง ถูกยกเลิกเมื่อมีการ sync</t>
  </si>
  <si>
    <t xml:space="preserve">ออกแดดรอบ 1: ตั้ง 10:31 ไม่เด้ง (สรุปไม่ได้ว่าเกิดจากข้อนี้)</t>
  </si>
  <si>
    <t xml:space="preserve">แจ้งเตือนสำคัญอาจหายเงียบ ๆ</t>
  </si>
  <si>
    <t xml:space="preserve">replaceScheduled()/cancelKinds() ยกเลิกทุกรายการของชนิดนั้น · แก้: เก็บเวลา at ในข้อมูลแจ้งเตือน ยกเลิกเฉพาะรายการในอนาคตหรือที่ไม่อยู่ในแผนแล้ว + เทสต์ Jest 4 ข้อ</t>
  </si>
  <si>
    <t xml:space="preserve">แก้แล้ว commit c6b05db (เก็บไว้ไม่เกิน 30 นาที) · ยืนยันด้วย Jest ยังไม่ได้ยืนยันบนมือถือ</t>
  </si>
  <si>
    <t xml:space="preserve">หน้าหลักยังแสดงชั่วโมงก่อนหน้าเมื่อข้ามชั่วโมง</t>
  </si>
  <si>
    <t xml:space="preserve">12:00 ยังแสดง "ดัชนี UV ตอนนี้ (11:00–12:00 น.)"</t>
  </si>
  <si>
    <t xml:space="preserve">ค่า UVI ที่แสดงอาจเป็นของชั่วโมงที่ผ่านไปแล้ว</t>
  </si>
  <si>
    <t xml:space="preserve">ตรวจว่าการเลือกชั่วโมงปัจจุบันอัปเดตตามเวลาและตอน AppState กลับมา active · น่าจะใช้ useNow ตัวเดียวกับข้อ 1</t>
  </si>
  <si>
    <t xml:space="preserve">แก้แล้ว commit c6b05db · ยืนยันด้วย Jest ยังไม่ได้ยืนยันบนมือถือ</t>
  </si>
  <si>
    <t xml:space="preserve">รอยืนยัน</t>
  </si>
  <si>
    <t xml:space="preserve">หน้าวัดแสงแสดง 0 lux ในบ้าน</t>
  </si>
  <si>
    <t xml:space="preserve">12:09 ในบ้าน 0 lux (เอียง 12°) ขณะที่ใต้หลังคาได้ 154 lux</t>
  </si>
  <si>
    <t xml:space="preserve">ถ้าเซนเซอร์หยุดส่งค่า ผู้ใช้จะเห็นเลขที่ไม่จริง</t>
  </si>
  <si>
    <t xml:space="preserve">ทดสอบ 3 ขั้น: (1) เดินเข้าหาหน้าต่างหรือหลอดไฟ เลขขึ้นไหม (2) ออกจากหน้าวัดแสงแล้วเข้าใหม่ (3) เอามือปิดแล้วเปิดเซนเซอร์เหนือจอ · ถ้าเลขไม่ขยับ = บั๊กการสมัครรับค่าเซนเซอร์</t>
  </si>
  <si>
    <t xml:space="preserve">ทำซ้ำไม่ได้ (13:20 วัดได้ 207 lux) · ไม่แก้โค้ด เขียนเป็นข้อสังเกต</t>
  </si>
  <si>
    <t xml:space="preserve">ข้อจำกัด</t>
  </si>
  <si>
    <t xml:space="preserve">แจ้งเตือนในเครื่องมาช้า 2–9 นาที (อาจถึง 11 นาที)</t>
  </si>
  <si>
    <t xml:space="preserve">UV สูง ช้า 6 นาที · ทาครีมซ้ำ ช้า 2 นาที · UV ลดลงแล้ว ช้า 9 นาที · ออกแดดรอบ 2 ช้าราว 11 นาที (ตามสูตร ยังไม่ยืนยัน)</t>
  </si>
  <si>
    <t xml:space="preserve">คำเตือนผิวไหม้อาจมาหลังเวลาที่ควรเตือน</t>
  </si>
  <si>
    <t xml:space="preserve">แอปไม่ได้ขอสิทธิ์ SCHEDULE_EXACT_ALARM Android จึงเลื่อนเวลาส่งได้ และโหมดประหยัดพลังงานน่าจะเปิดอยู่ตลอดการทดสอบ (รอยืนยัน) · เขียนในข้อจำกัด และเสนอเป็นงานต่อยอด</t>
  </si>
  <si>
    <t xml:space="preserve">เขียนลงรายงาน</t>
  </si>
  <si>
    <t xml:space="preserve">CNN ให้ประเภทเมฆเดียวกันทุกภาพจากมือถือ</t>
  </si>
  <si>
    <t xml:space="preserve">4 จาก 4 ภาพ ได้ "เมฆบางสีขาว 100 %" ท้องฟ้าจริงเป็นเมฆบางส่วน</t>
  </si>
  <si>
    <t xml:space="preserve">ผลประเภทเมฆบนมือถือเชื่อถือไม่ได้ (ไม่กระทบค่า UVI เพราะ CNN ไม่เปลี่ยน UVI)</t>
  </si>
  <si>
    <t xml:space="preserve">สงสัย domain shift จากชุดฝึก · ถ่ายภาพฟ้าใสเพิ่ม 1 ภาพเพื่อตรวจ (แท็บ กล้อง) · ไม่ฝึกใหม่ด้วยภาพของผู้ใช้</t>
  </si>
  <si>
    <t xml:space="preserve">รอภาพตรวจ แล้วเขียนลงรายงาน</t>
  </si>
  <si>
    <t xml:space="preserve">ค่า lux กลางแดดต่ำกว่าที่คาด</t>
  </si>
  <si>
    <t xml:space="preserve">กลางแดดตอนเที่ยง 19,321 lux</t>
  </si>
  <si>
    <t xml:space="preserve">ไม่กระทบ UVI (lux ใช้ดูเท่านั้น ยังไม่ปรับเทียบ)</t>
  </si>
  <si>
    <t xml:space="preserve">อาจเพราะเมฆบังดวงอาทิตย์ หรือเซนเซอร์/แอปมีเพดาน · ถ้าวัดซ้ำตอนแดดจัดไม่มีเมฆแล้วได้เลขเดิม = มีเพดาน</t>
  </si>
  <si>
    <t xml:space="preserve">ยังสรุปไม่ได้</t>
  </si>
  <si>
    <t xml:space="preserve">ยังไม่ได้ทดสอบ</t>
  </si>
  <si>
    <t xml:space="preserve">push จากเซิร์ฟเวอร์บนเครื่องจริง, iOS, ขั้นตอนตำแหน่ง 4 กรณี, สรุป 07:00</t>
  </si>
  <si>
    <t xml:space="preserve">push ทดสอบด้วย FakeSender เท่านั้น (ต้องมี Firebase/FCM และ build ใหม่)</t>
  </si>
  <si>
    <t xml:space="preserve">ต้องระบุชัดในรายงานว่าส่วนใดทดสอบบนเครื่องจริงแล้ว ส่วนใดยัง</t>
  </si>
  <si>
    <t xml:space="preserve">ตำแหน่ง 4 กรณี ทำวันนี้ได้ · สรุป 07:00 ทำพรุ่งนี้เช้า · push จริงและ iOS เขียนเป็นข้อจำกัด</t>
  </si>
  <si>
    <t xml:space="preserve">"UV ลดลงแล้ว" ทดสอบแล้ว 15:09 · ที่เหลือยังค้าง</t>
  </si>
  <si>
    <t xml:space="preserve">เตือนผิวไหม้ข้ามวันเมื่อ UV ต่ำ</t>
  </si>
  <si>
    <t xml:space="preserve">15:37 ค่าบน 3.0 กด "ออกแดด" การ์ดแสดง "จะเตือนราว 08:06" ซึ่งเป็นเช้าวันถัดไป</t>
  </si>
  <si>
    <t xml:space="preserve">ผู้ใช้สับสน และอาจได้แจ้งเตือนผิวไหม้ผิดในเช้าวันถัดไป</t>
  </si>
  <si>
    <t xml:space="preserve">สะสมปริมาณ UV ข้ามคืน · แก้: นับเฉพาะช่วงที่มีแดดของวันที่เริ่ม (sunEndMs) ถ้าไม่ถึง 80 % แสดง "วันนี้ UV ไม่พอ..." และไม่ตั้งเตือน · ข้อจำกัดที่เหลือ: session ไม่จบเองเมื่อข้ามวัน</t>
  </si>
  <si>
    <t xml:space="preserve">แก้แล้ว commit d2b1762 · ยืนยันด้วย Jest (329 ข้อ) บนมือถือ: ไม่ได้จด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</si>
</sst>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hh:mm"/>
    <numFmt numFmtId="166" formatCode="General"/>
    <numFmt numFmtId="167" formatCode="0"/>
    <numFmt numFmtId="168" formatCode="#,##0"/>
    <numFmt numFmtId="169" formatCode="0%"/>
    <numFmt numFmtId="170" formatCode="\+0%;\-0%;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ahoma"/>
      <family val="0"/>
      <charset val="1"/>
    </font>
    <font>
      <i val="true"/>
      <sz val="9"/>
      <color rgb="FF555555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sz val="10"/>
      <color rgb="FF0000FF"/>
      <name val="Tahoma"/>
      <family val="0"/>
      <charset val="1"/>
    </font>
    <font>
      <sz val="10"/>
      <color rgb="FF008000"/>
      <name val="Tahoma"/>
      <family val="0"/>
      <charset val="1"/>
    </font>
    <font>
      <i val="true"/>
      <sz val="10"/>
      <color rgb="FF555555"/>
      <name val="Tahoma"/>
      <family val="0"/>
      <charset val="1"/>
    </font>
    <font>
      <sz val="11"/>
      <color theme="1"/>
      <name val="FreeSans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37"/>
        <bgColor rgb="FF333300"/>
      </patternFill>
    </fill>
    <fill>
      <patternFill patternType="solid">
        <fgColor rgb="FFE2F0D9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F0D9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7" min="7" style="1" width="16"/>
    <col collapsed="false" customWidth="true" hidden="false" outlineLevel="0" max="8" min="8" style="1" width="15"/>
    <col collapsed="false" customWidth="true" hidden="false" outlineLevel="0" max="9" min="9" style="1" width="22"/>
    <col collapsed="false" customWidth="true" hidden="false" outlineLevel="0" max="10" min="10" style="1" width="70"/>
  </cols>
  <sheetData>
    <row r="1" customFormat="false" ht="24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5" t="s">
        <v>5</v>
      </c>
      <c r="C5" s="3"/>
    </row>
    <row r="6" customFormat="false" ht="15" hidden="false" customHeight="true" outlineLevel="0" collapsed="false">
      <c r="A6" s="4" t="s">
        <v>6</v>
      </c>
      <c r="B6" s="5" t="s">
        <v>7</v>
      </c>
      <c r="C6" s="6" t="s">
        <v>8</v>
      </c>
    </row>
    <row r="7" customFormat="false" ht="15" hidden="false" customHeight="true" outlineLevel="0" collapsed="false">
      <c r="A7" s="4" t="s">
        <v>9</v>
      </c>
      <c r="B7" s="5" t="s">
        <v>10</v>
      </c>
    </row>
    <row r="8" customFormat="false" ht="15" hidden="false" customHeight="true" outlineLevel="0" collapsed="false">
      <c r="A8" s="4" t="s">
        <v>11</v>
      </c>
      <c r="B8" s="5" t="s">
        <v>12</v>
      </c>
    </row>
    <row r="9" customFormat="false" ht="15" hidden="false" customHeight="true" outlineLevel="0" collapsed="false">
      <c r="A9" s="4" t="s">
        <v>13</v>
      </c>
      <c r="B9" s="5" t="s">
        <v>14</v>
      </c>
    </row>
    <row r="11" customFormat="false" ht="15" hidden="false" customHeight="true" outlineLevel="0" collapsed="false">
      <c r="A11" s="7" t="s">
        <v>15</v>
      </c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  <c r="G11" s="7" t="s">
        <v>21</v>
      </c>
      <c r="H11" s="7" t="s">
        <v>22</v>
      </c>
      <c r="I11" s="7" t="s">
        <v>23</v>
      </c>
      <c r="J11" s="7" t="s">
        <v>24</v>
      </c>
    </row>
    <row r="12" customFormat="false" ht="23.25" hidden="false" customHeight="true" outlineLevel="0" collapsed="false">
      <c r="A12" s="8" t="s">
        <v>25</v>
      </c>
      <c r="B12" s="9" t="n">
        <v>0.409027777777778</v>
      </c>
      <c r="C12" s="9" t="n">
        <v>0.416666666666667</v>
      </c>
      <c r="D12" s="9" t="n">
        <v>0.420833333333333</v>
      </c>
      <c r="E12" s="10" t="n">
        <f aca="false">IF(OR(C12="",D12=""),"",ROUND((D12-C12)*1440,0))</f>
        <v>6</v>
      </c>
      <c r="F12" s="11"/>
      <c r="G12" s="11"/>
      <c r="H12" s="12" t="s">
        <v>26</v>
      </c>
      <c r="I12" s="12" t="s">
        <v>27</v>
      </c>
      <c r="J12" s="12" t="s">
        <v>28</v>
      </c>
    </row>
    <row r="13" customFormat="false" ht="23.25" hidden="false" customHeight="true" outlineLevel="0" collapsed="false">
      <c r="A13" s="12" t="s">
        <v>29</v>
      </c>
      <c r="B13" s="9" t="n">
        <v>0.411111111111111</v>
      </c>
      <c r="C13" s="9" t="n">
        <v>0.494444444444445</v>
      </c>
      <c r="D13" s="9" t="n">
        <v>0.495833333333333</v>
      </c>
      <c r="E13" s="10" t="n">
        <f aca="false">IF(OR(C13="",D13=""),"",ROUND((D13-C13)*1440,0))</f>
        <v>2</v>
      </c>
      <c r="F13" s="11"/>
      <c r="G13" s="11"/>
      <c r="H13" s="11"/>
      <c r="I13" s="12" t="s">
        <v>30</v>
      </c>
      <c r="J13" s="12" t="s">
        <v>31</v>
      </c>
    </row>
    <row r="14" customFormat="false" ht="44.25" hidden="false" customHeight="true" outlineLevel="0" collapsed="false">
      <c r="A14" s="12" t="s">
        <v>32</v>
      </c>
      <c r="B14" s="9" t="n">
        <v>0.422222222222222</v>
      </c>
      <c r="C14" s="9" t="n">
        <v>0.438194444444444</v>
      </c>
      <c r="D14" s="9"/>
      <c r="E14" s="10" t="str">
        <f aca="false">IF(OR(C14="",D14=""),"",ROUND((D14-C14)*1440,0))</f>
        <v/>
      </c>
      <c r="F14" s="11"/>
      <c r="G14" s="11"/>
      <c r="H14" s="11"/>
      <c r="I14" s="12" t="s">
        <v>33</v>
      </c>
      <c r="J14" s="12" t="s">
        <v>34</v>
      </c>
    </row>
    <row r="15" customFormat="false" ht="34.5" hidden="false" customHeight="true" outlineLevel="0" collapsed="false">
      <c r="A15" s="12" t="s">
        <v>35</v>
      </c>
      <c r="B15" s="9" t="n">
        <v>0.472916666666667</v>
      </c>
      <c r="C15" s="13"/>
      <c r="D15" s="9" t="n">
        <v>0.49375</v>
      </c>
      <c r="E15" s="10" t="str">
        <f aca="false">IF(OR(C15="",D15=""),"",ROUND((D15-C15)*1440,0))</f>
        <v/>
      </c>
      <c r="F15" s="11"/>
      <c r="G15" s="11"/>
      <c r="H15" s="11"/>
      <c r="I15" s="12" t="s">
        <v>36</v>
      </c>
      <c r="J15" s="12" t="s">
        <v>37</v>
      </c>
    </row>
    <row r="16" customFormat="false" ht="34.5" hidden="false" customHeight="true" outlineLevel="0" collapsed="false">
      <c r="A16" s="12" t="s">
        <v>38</v>
      </c>
      <c r="B16" s="9" t="s">
        <v>39</v>
      </c>
      <c r="C16" s="9" t="n">
        <v>0.625</v>
      </c>
      <c r="D16" s="9" t="n">
        <v>0.63125</v>
      </c>
      <c r="E16" s="10" t="n">
        <f aca="false">IF(OR(C16="",D16=""),"",ROUND((D16-C16)*1440,0))</f>
        <v>9</v>
      </c>
      <c r="F16" s="11"/>
      <c r="G16" s="12" t="s">
        <v>40</v>
      </c>
      <c r="H16" s="12" t="s">
        <v>41</v>
      </c>
      <c r="I16" s="12" t="s">
        <v>42</v>
      </c>
      <c r="J16" s="12" t="s">
        <v>43</v>
      </c>
    </row>
    <row r="17" customFormat="false" ht="15" hidden="false" customHeight="true" outlineLevel="0" collapsed="false">
      <c r="A17" s="12" t="s">
        <v>44</v>
      </c>
      <c r="B17" s="13"/>
      <c r="C17" s="9" t="n">
        <v>0.291666666666667</v>
      </c>
      <c r="D17" s="13"/>
      <c r="E17" s="10" t="str">
        <f aca="false">IF(OR(C17="",D17=""),"",ROUND((D17-C17)*1440,0))</f>
        <v/>
      </c>
      <c r="F17" s="11"/>
      <c r="G17" s="11"/>
      <c r="H17" s="11"/>
      <c r="I17" s="11"/>
      <c r="J17" s="12" t="s">
        <v>45</v>
      </c>
    </row>
    <row r="18" customFormat="false" ht="15" hidden="false" customHeight="true" outlineLevel="0" collapsed="false"/>
    <row r="19" customFormat="false" ht="15" hidden="false" customHeight="true" outlineLevel="0" collapsed="false">
      <c r="A19" s="14" t="s">
        <v>46</v>
      </c>
    </row>
    <row r="20" customFormat="false" ht="15" hidden="false" customHeight="true" outlineLevel="0" collapsed="false">
      <c r="A20" s="5" t="s">
        <v>47</v>
      </c>
      <c r="B20" s="4" t="n">
        <f aca="false">COUNT(D12:D17)</f>
        <v>4</v>
      </c>
    </row>
    <row r="21" customFormat="false" ht="15" hidden="false" customHeight="true" outlineLevel="0" collapsed="false">
      <c r="A21" s="5" t="s">
        <v>48</v>
      </c>
      <c r="B21" s="4" t="n">
        <f aca="false">IF(COUNT(E12:E17)=0,"",ROUND(AVERAGE(E12:E17),1))</f>
        <v>5.7</v>
      </c>
      <c r="C21" s="3" t="s">
        <v>49</v>
      </c>
    </row>
    <row r="22" customFormat="false" ht="15" hidden="false" customHeight="true" outlineLevel="0" collapsed="false">
      <c r="A22" s="5" t="s">
        <v>50</v>
      </c>
      <c r="B22" s="4" t="n">
        <f aca="false">IF(COUNT(E12:E17)=0,"",MAX(E12:E17))</f>
        <v>9</v>
      </c>
    </row>
    <row r="23" customFormat="false" ht="15" hidden="false" customHeight="true" outlineLevel="0" collapsed="false">
      <c r="A23" s="5" t="s">
        <v>51</v>
      </c>
      <c r="B23" s="4" t="n">
        <f aca="false">IF(คำนวณ!B27="","",MAX(B22,คำนวณ!B27))</f>
        <v>11</v>
      </c>
      <c r="C23" s="3" t="s">
        <v>52</v>
      </c>
    </row>
    <row r="24" customFormat="false" ht="15" hidden="false" customHeight="true" outlineLevel="0" collapsed="false"/>
    <row r="25" customFormat="false" ht="15" hidden="false" customHeight="true" outlineLevel="0" collapsed="false">
      <c r="A25" s="3" t="s">
        <v>53</v>
      </c>
    </row>
    <row r="26" customFormat="false" ht="15" hidden="false" customHeight="true" outlineLevel="0" collapsed="false">
      <c r="A26" s="3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80"/>
  </cols>
  <sheetData>
    <row r="1" customFormat="false" ht="24" hidden="false" customHeight="true" outlineLevel="0" collapsed="false">
      <c r="A1" s="2" t="s">
        <v>55</v>
      </c>
    </row>
    <row r="3" customFormat="false" ht="15" hidden="false" customHeight="true" outlineLevel="0" collapsed="false">
      <c r="A3" s="7" t="s">
        <v>56</v>
      </c>
      <c r="B3" s="7" t="s">
        <v>57</v>
      </c>
      <c r="C3" s="7" t="s">
        <v>58</v>
      </c>
      <c r="D3" s="7" t="s">
        <v>59</v>
      </c>
    </row>
    <row r="4" customFormat="false" ht="15" hidden="false" customHeight="true" outlineLevel="0" collapsed="false">
      <c r="A4" s="12" t="s">
        <v>60</v>
      </c>
      <c r="B4" s="15" t="n">
        <v>350</v>
      </c>
      <c r="C4" s="12" t="s">
        <v>61</v>
      </c>
      <c r="D4" s="12" t="s">
        <v>62</v>
      </c>
    </row>
    <row r="5" customFormat="false" ht="15" hidden="false" customHeight="true" outlineLevel="0" collapsed="false">
      <c r="A5" s="12" t="s">
        <v>63</v>
      </c>
      <c r="B5" s="15" t="n">
        <v>0.8</v>
      </c>
      <c r="C5" s="12" t="s">
        <v>64</v>
      </c>
      <c r="D5" s="12" t="s">
        <v>65</v>
      </c>
    </row>
    <row r="6" customFormat="false" ht="15" hidden="false" customHeight="true" outlineLevel="0" collapsed="false">
      <c r="A6" s="12" t="s">
        <v>66</v>
      </c>
      <c r="B6" s="15" t="n">
        <v>8.1</v>
      </c>
      <c r="C6" s="12" t="s">
        <v>67</v>
      </c>
      <c r="D6" s="12" t="s">
        <v>68</v>
      </c>
    </row>
    <row r="7" customFormat="false" ht="15" hidden="false" customHeight="true" outlineLevel="0" collapsed="false">
      <c r="A7" s="12" t="s">
        <v>69</v>
      </c>
      <c r="B7" s="15" t="n">
        <v>0.025</v>
      </c>
      <c r="C7" s="12" t="s">
        <v>70</v>
      </c>
      <c r="D7" s="12" t="s">
        <v>71</v>
      </c>
    </row>
    <row r="8" customFormat="false" ht="15" hidden="false" customHeight="true" outlineLevel="0" collapsed="false">
      <c r="A8" s="12" t="s">
        <v>72</v>
      </c>
      <c r="B8" s="16" t="n">
        <v>0.422222222222222</v>
      </c>
      <c r="C8" s="12" t="s">
        <v>73</v>
      </c>
      <c r="D8" s="12" t="s">
        <v>74</v>
      </c>
    </row>
    <row r="10" customFormat="false" ht="15" hidden="false" customHeight="true" outlineLevel="0" collapsed="false">
      <c r="A10" s="7" t="s">
        <v>75</v>
      </c>
      <c r="B10" s="7" t="s">
        <v>57</v>
      </c>
      <c r="C10" s="7" t="s">
        <v>58</v>
      </c>
      <c r="D10" s="7" t="s">
        <v>76</v>
      </c>
    </row>
    <row r="11" customFormat="false" ht="15" hidden="false" customHeight="true" outlineLevel="0" collapsed="false">
      <c r="A11" s="12" t="s">
        <v>77</v>
      </c>
      <c r="B11" s="17" t="n">
        <f aca="false">B4*B5</f>
        <v>280</v>
      </c>
      <c r="C11" s="12" t="s">
        <v>61</v>
      </c>
      <c r="D11" s="12" t="s">
        <v>78</v>
      </c>
    </row>
    <row r="12" customFormat="false" ht="15" hidden="false" customHeight="true" outlineLevel="0" collapsed="false">
      <c r="A12" s="12" t="s">
        <v>79</v>
      </c>
      <c r="B12" s="17" t="n">
        <f aca="false">B6*B7</f>
        <v>0.2025</v>
      </c>
      <c r="C12" s="12" t="s">
        <v>80</v>
      </c>
      <c r="D12" s="12" t="s">
        <v>81</v>
      </c>
    </row>
    <row r="13" customFormat="false" ht="15" hidden="false" customHeight="true" outlineLevel="0" collapsed="false">
      <c r="A13" s="12" t="s">
        <v>82</v>
      </c>
      <c r="B13" s="18" t="n">
        <f aca="false">IF(B12=0,"",B11/B12)</f>
        <v>1382.71604938272</v>
      </c>
      <c r="C13" s="12" t="s">
        <v>83</v>
      </c>
      <c r="D13" s="12" t="s">
        <v>84</v>
      </c>
    </row>
    <row r="14" customFormat="false" ht="15" hidden="false" customHeight="true" outlineLevel="0" collapsed="false">
      <c r="A14" s="12" t="s">
        <v>82</v>
      </c>
      <c r="B14" s="17" t="n">
        <f aca="false">IF(B13="","",ROUND(B13/60,1))</f>
        <v>23</v>
      </c>
      <c r="C14" s="12" t="s">
        <v>85</v>
      </c>
      <c r="D14" s="12" t="s">
        <v>86</v>
      </c>
    </row>
    <row r="15" customFormat="false" ht="15" hidden="false" customHeight="true" outlineLevel="0" collapsed="false">
      <c r="A15" s="12" t="s">
        <v>87</v>
      </c>
      <c r="B15" s="19" t="n">
        <f aca="false">IF(OR(B8="",B13=""),"",B8+B13/86400)</f>
        <v>0.438225880201181</v>
      </c>
      <c r="C15" s="12" t="s">
        <v>73</v>
      </c>
      <c r="D15" s="12" t="s">
        <v>88</v>
      </c>
    </row>
    <row r="16" customFormat="false" ht="15" hidden="false" customHeight="true" outlineLevel="0" collapsed="false">
      <c r="A16" s="12" t="s">
        <v>89</v>
      </c>
      <c r="B16" s="17" t="n">
        <f aca="false">IF(B12=0,"",ROUND(B4/B12/60,0))</f>
        <v>29</v>
      </c>
      <c r="C16" s="12" t="s">
        <v>85</v>
      </c>
      <c r="D16" s="12" t="s">
        <v>90</v>
      </c>
    </row>
    <row r="18" customFormat="false" ht="15" hidden="false" customHeight="true" outlineLevel="0" collapsed="false">
      <c r="A18" s="3" t="s">
        <v>91</v>
      </c>
    </row>
    <row r="20" customFormat="false" ht="15" hidden="false" customHeight="true" outlineLevel="0" collapsed="false">
      <c r="A20" s="20" t="s">
        <v>92</v>
      </c>
      <c r="B20" s="20" t="s">
        <v>57</v>
      </c>
      <c r="C20" s="20" t="s">
        <v>58</v>
      </c>
      <c r="D20" s="20" t="s">
        <v>93</v>
      </c>
    </row>
    <row r="21" customFormat="false" ht="15" hidden="false" customHeight="true" outlineLevel="0" collapsed="false">
      <c r="A21" s="12" t="s">
        <v>94</v>
      </c>
      <c r="B21" s="21" t="n">
        <v>9.7</v>
      </c>
      <c r="C21" s="12" t="s">
        <v>67</v>
      </c>
      <c r="D21" s="12" t="s">
        <v>95</v>
      </c>
    </row>
    <row r="22" customFormat="false" ht="15" hidden="false" customHeight="true" outlineLevel="0" collapsed="false">
      <c r="A22" s="12" t="s">
        <v>96</v>
      </c>
      <c r="B22" s="22" t="n">
        <v>0.472916666666667</v>
      </c>
      <c r="C22" s="12" t="s">
        <v>73</v>
      </c>
      <c r="D22" s="12" t="s">
        <v>97</v>
      </c>
    </row>
    <row r="23" customFormat="false" ht="15" hidden="false" customHeight="true" outlineLevel="0" collapsed="false">
      <c r="A23" s="12" t="s">
        <v>79</v>
      </c>
      <c r="B23" s="10" t="n">
        <f aca="false">B21*B7</f>
        <v>0.2425</v>
      </c>
      <c r="C23" s="12" t="s">
        <v>80</v>
      </c>
      <c r="D23" s="12" t="s">
        <v>81</v>
      </c>
    </row>
    <row r="24" customFormat="false" ht="15" hidden="false" customHeight="true" outlineLevel="0" collapsed="false">
      <c r="A24" s="12" t="s">
        <v>82</v>
      </c>
      <c r="B24" s="10" t="n">
        <f aca="false">IF(B23=0,"",ROUND(B11/B23/60,1))</f>
        <v>19.2</v>
      </c>
      <c r="C24" s="12" t="s">
        <v>85</v>
      </c>
      <c r="D24" s="12" t="s">
        <v>98</v>
      </c>
    </row>
    <row r="25" customFormat="false" ht="15" hidden="false" customHeight="true" outlineLevel="0" collapsed="false">
      <c r="A25" s="12" t="s">
        <v>87</v>
      </c>
      <c r="B25" s="23" t="n">
        <f aca="false">IF(OR(B22="",B23=0),"",B22+B11/B23/86400)</f>
        <v>0.486280546009919</v>
      </c>
      <c r="C25" s="12" t="s">
        <v>73</v>
      </c>
      <c r="D25" s="12" t="s">
        <v>99</v>
      </c>
    </row>
    <row r="26" customFormat="false" ht="15" hidden="false" customHeight="true" outlineLevel="0" collapsed="false">
      <c r="A26" s="12" t="s">
        <v>100</v>
      </c>
      <c r="B26" s="24" t="n">
        <f aca="false">แจ้งเตือน!D15</f>
        <v>0.49375</v>
      </c>
      <c r="C26" s="12" t="s">
        <v>73</v>
      </c>
      <c r="D26" s="12" t="s">
        <v>101</v>
      </c>
    </row>
    <row r="27" customFormat="false" ht="15" hidden="false" customHeight="true" outlineLevel="0" collapsed="false">
      <c r="A27" s="12" t="s">
        <v>102</v>
      </c>
      <c r="B27" s="10" t="n">
        <f aca="false">IF(OR(B25="",B26=""),"",ROUND((B26-B25)*1440,0))</f>
        <v>11</v>
      </c>
      <c r="C27" s="12" t="s">
        <v>85</v>
      </c>
      <c r="D27" s="12" t="s">
        <v>103</v>
      </c>
    </row>
    <row r="28" customFormat="false" ht="15" hidden="false" customHeight="true" outlineLevel="0" collapsed="false">
      <c r="A28" s="12" t="s">
        <v>89</v>
      </c>
      <c r="B28" s="10" t="n">
        <f aca="false">IF(B23=0,"",ROUND(B4/B23/60,0))</f>
        <v>24</v>
      </c>
      <c r="C28" s="12" t="s">
        <v>85</v>
      </c>
      <c r="D28" s="12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3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9" min="8" style="1" width="8"/>
    <col collapsed="false" customWidth="true" hidden="false" outlineLevel="0" max="10" min="10" style="1" width="16"/>
    <col collapsed="false" customWidth="true" hidden="false" outlineLevel="0" max="11" min="11" style="1" width="18"/>
    <col collapsed="false" customWidth="true" hidden="false" outlineLevel="0" max="12" min="12" style="1" width="70"/>
  </cols>
  <sheetData>
    <row r="1" customFormat="false" ht="24" hidden="false" customHeight="true" outlineLevel="0" collapsed="false">
      <c r="A1" s="2" t="s">
        <v>105</v>
      </c>
    </row>
    <row r="2" customFormat="false" ht="15" hidden="false" customHeight="true" outlineLevel="0" collapsed="false">
      <c r="A2" s="3" t="s">
        <v>106</v>
      </c>
    </row>
    <row r="4" customFormat="false" ht="23.25" hidden="false" customHeight="true" outlineLevel="0" collapsed="false">
      <c r="A4" s="7" t="s">
        <v>107</v>
      </c>
      <c r="B4" s="7" t="s">
        <v>108</v>
      </c>
      <c r="C4" s="7" t="s">
        <v>109</v>
      </c>
      <c r="D4" s="7" t="s">
        <v>110</v>
      </c>
      <c r="E4" s="7" t="s">
        <v>111</v>
      </c>
      <c r="F4" s="7" t="s">
        <v>112</v>
      </c>
      <c r="G4" s="7" t="s">
        <v>113</v>
      </c>
      <c r="H4" s="7" t="s">
        <v>114</v>
      </c>
      <c r="I4" s="7" t="s">
        <v>115</v>
      </c>
      <c r="J4" s="7" t="s">
        <v>116</v>
      </c>
      <c r="K4" s="7" t="s">
        <v>117</v>
      </c>
      <c r="L4" s="7" t="s">
        <v>24</v>
      </c>
    </row>
    <row r="5" customFormat="false" ht="15" hidden="false" customHeight="true" outlineLevel="0" collapsed="false">
      <c r="A5" s="25" t="s">
        <v>118</v>
      </c>
      <c r="B5" s="26" t="n">
        <v>0.554166666666667</v>
      </c>
      <c r="C5" s="27" t="n">
        <v>2765</v>
      </c>
      <c r="D5" s="25" t="n">
        <v>30</v>
      </c>
      <c r="E5" s="25" t="str">
        <f aca="false">IF(D5="","",IF(D5&lt;=15,"ใช่","ไม่ (เอียงเกิน 15°)"))</f>
        <v>ไม่ (เอียงเกิน 15°)</v>
      </c>
      <c r="F5" s="25"/>
      <c r="G5" s="25" t="n">
        <v>8</v>
      </c>
      <c r="H5" s="25" t="n">
        <v>6.6</v>
      </c>
      <c r="I5" s="25" t="n">
        <v>9</v>
      </c>
      <c r="J5" s="25"/>
      <c r="K5" s="25" t="str">
        <f aca="false">IF(OR(G5="",J5=""),"",ROUND(G5-J5,1))</f>
        <v/>
      </c>
      <c r="L5" s="25" t="s">
        <v>119</v>
      </c>
    </row>
    <row r="6" customFormat="false" ht="23.25" hidden="false" customHeight="true" outlineLevel="0" collapsed="false">
      <c r="A6" s="4" t="s">
        <v>120</v>
      </c>
      <c r="B6" s="9" t="s">
        <v>121</v>
      </c>
      <c r="C6" s="28" t="n">
        <v>19321</v>
      </c>
      <c r="D6" s="12" t="n">
        <v>8</v>
      </c>
      <c r="E6" s="12" t="str">
        <f aca="false">IF(D6="","",IF(D6&lt;=15,"ใช่","ไม่ (เอียงเกิน 15°)"))</f>
        <v>ใช่</v>
      </c>
      <c r="F6" s="12" t="s">
        <v>122</v>
      </c>
      <c r="G6" s="12" t="n">
        <v>8.7</v>
      </c>
      <c r="H6" s="12" t="n">
        <v>7.4</v>
      </c>
      <c r="I6" s="12" t="n">
        <v>9.7</v>
      </c>
      <c r="J6" s="11"/>
      <c r="K6" s="12" t="str">
        <f aca="false">IF(OR(G6="",J6=""),"",ROUND(G6-J6,1))</f>
        <v/>
      </c>
      <c r="L6" s="12" t="s">
        <v>123</v>
      </c>
    </row>
    <row r="7" customFormat="false" ht="15" hidden="false" customHeight="true" outlineLevel="0" collapsed="false">
      <c r="A7" s="4" t="s">
        <v>124</v>
      </c>
      <c r="B7" s="9" t="s">
        <v>121</v>
      </c>
      <c r="C7" s="28" t="n">
        <v>1082</v>
      </c>
      <c r="D7" s="12" t="n">
        <v>9</v>
      </c>
      <c r="E7" s="12" t="str">
        <f aca="false">IF(D7="","",IF(D7&lt;=15,"ใช่","ไม่ (เอียงเกิน 15°)"))</f>
        <v>ใช่</v>
      </c>
      <c r="F7" s="12" t="s">
        <v>122</v>
      </c>
      <c r="G7" s="12" t="n">
        <v>8.7</v>
      </c>
      <c r="H7" s="12" t="n">
        <v>7.4</v>
      </c>
      <c r="I7" s="12" t="n">
        <v>9.7</v>
      </c>
      <c r="J7" s="11"/>
      <c r="K7" s="12" t="str">
        <f aca="false">IF(OR(G7="",J7=""),"",ROUND(G7-J7,1))</f>
        <v/>
      </c>
      <c r="L7" s="12" t="s">
        <v>125</v>
      </c>
    </row>
    <row r="8" customFormat="false" ht="15" hidden="false" customHeight="true" outlineLevel="0" collapsed="false">
      <c r="A8" s="4" t="s">
        <v>126</v>
      </c>
      <c r="B8" s="9" t="s">
        <v>121</v>
      </c>
      <c r="C8" s="28" t="n">
        <v>154</v>
      </c>
      <c r="D8" s="12" t="n">
        <v>7</v>
      </c>
      <c r="E8" s="12" t="str">
        <f aca="false">IF(D8="","",IF(D8&lt;=15,"ใช่","ไม่ (เอียงเกิน 15°)"))</f>
        <v>ใช่</v>
      </c>
      <c r="F8" s="12" t="s">
        <v>122</v>
      </c>
      <c r="G8" s="12" t="n">
        <v>8.7</v>
      </c>
      <c r="H8" s="12" t="n">
        <v>7.4</v>
      </c>
      <c r="I8" s="12" t="n">
        <v>9.7</v>
      </c>
      <c r="J8" s="11"/>
      <c r="K8" s="12" t="str">
        <f aca="false">IF(OR(G8="",J8=""),"",ROUND(G8-J8,1))</f>
        <v/>
      </c>
      <c r="L8" s="12" t="s">
        <v>127</v>
      </c>
    </row>
    <row r="9" customFormat="false" ht="23.25" hidden="false" customHeight="true" outlineLevel="0" collapsed="false">
      <c r="A9" s="4" t="s">
        <v>128</v>
      </c>
      <c r="B9" s="9" t="n">
        <v>0.50625</v>
      </c>
      <c r="C9" s="28" t="n">
        <v>0</v>
      </c>
      <c r="D9" s="12" t="n">
        <v>12</v>
      </c>
      <c r="E9" s="12" t="str">
        <f aca="false">IF(D9="","",IF(D9&lt;=15,"ใช่","ไม่ (เอียงเกิน 15°)"))</f>
        <v>ใช่</v>
      </c>
      <c r="F9" s="12" t="s">
        <v>122</v>
      </c>
      <c r="G9" s="29" t="s">
        <v>39</v>
      </c>
      <c r="H9" s="29" t="s">
        <v>39</v>
      </c>
      <c r="I9" s="29" t="s">
        <v>39</v>
      </c>
      <c r="J9" s="29" t="s">
        <v>39</v>
      </c>
      <c r="K9" s="30" t="s">
        <v>39</v>
      </c>
      <c r="L9" s="12" t="s">
        <v>129</v>
      </c>
    </row>
    <row r="11" customFormat="false" ht="15" hidden="false" customHeight="true" outlineLevel="0" collapsed="false">
      <c r="A11" s="3" t="s">
        <v>130</v>
      </c>
    </row>
    <row r="12" customFormat="false" ht="15" hidden="false" customHeight="true" outlineLevel="0" collapsed="false">
      <c r="A12" s="3" t="s">
        <v>131</v>
      </c>
    </row>
    <row r="13" customFormat="false" ht="15" hidden="false" customHeight="true" outlineLevel="0" collapsed="false">
      <c r="A13" s="3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6"/>
    <col collapsed="false" customWidth="true" hidden="false" outlineLevel="0" max="4" min="3" style="1" width="13"/>
    <col collapsed="false" customWidth="true" hidden="false" outlineLevel="0" max="5" min="5" style="1" width="15"/>
    <col collapsed="false" customWidth="true" hidden="false" outlineLevel="0" max="6" min="6" style="1" width="16"/>
    <col collapsed="false" customWidth="true" hidden="false" outlineLevel="0" max="7" min="7" style="1" width="22"/>
    <col collapsed="false" customWidth="true" hidden="false" outlineLevel="0" max="8" min="8" style="1" width="26"/>
    <col collapsed="false" customWidth="true" hidden="false" outlineLevel="0" max="9" min="9" style="1" width="70"/>
  </cols>
  <sheetData>
    <row r="1" customFormat="false" ht="24" hidden="false" customHeight="true" outlineLevel="0" collapsed="false">
      <c r="A1" s="2" t="s">
        <v>133</v>
      </c>
    </row>
    <row r="2" customFormat="false" ht="15" hidden="false" customHeight="true" outlineLevel="0" collapsed="false">
      <c r="A2" s="3" t="s">
        <v>134</v>
      </c>
    </row>
    <row r="4" customFormat="false" ht="21.75" hidden="false" customHeight="true" outlineLevel="0" collapsed="false">
      <c r="A4" s="7" t="s">
        <v>135</v>
      </c>
      <c r="B4" s="7" t="s">
        <v>136</v>
      </c>
      <c r="C4" s="7" t="s">
        <v>137</v>
      </c>
      <c r="D4" s="7" t="s">
        <v>138</v>
      </c>
      <c r="E4" s="7" t="s">
        <v>139</v>
      </c>
      <c r="F4" s="7" t="s">
        <v>140</v>
      </c>
      <c r="G4" s="7" t="s">
        <v>141</v>
      </c>
      <c r="H4" s="7" t="s">
        <v>142</v>
      </c>
      <c r="I4" s="7" t="s">
        <v>24</v>
      </c>
    </row>
    <row r="5" customFormat="false" ht="23.25" hidden="false" customHeight="true" outlineLevel="0" collapsed="false">
      <c r="A5" s="9" t="n">
        <v>0.439583333333333</v>
      </c>
      <c r="B5" s="24" t="n">
        <f aca="false">คำนวณ!$B$8</f>
        <v>0.422222222222222</v>
      </c>
      <c r="C5" s="10" t="n">
        <f aca="false">IF(OR(A5="",B5=""),"",ROUND((A5-B5)*1440,0))</f>
        <v>25</v>
      </c>
      <c r="D5" s="31" t="n">
        <v>0.79</v>
      </c>
      <c r="E5" s="32" t="n">
        <f aca="false">IF(C5="","",C5*60*คำนวณ!$B$12/คำนวณ!$B$4)</f>
        <v>0.867857142857143</v>
      </c>
      <c r="F5" s="33" t="n">
        <f aca="false">IF(OR(D5="",E5=""),"",D5-E5)</f>
        <v>-0.0778571428571429</v>
      </c>
      <c r="G5" s="34" t="str">
        <f aca="false">IF(F5="","",IF(ABS(F5)&lt;=0.03,"ตรง","ไม่ตรง: ตรวจการอัปเดต"))</f>
        <v>ไม่ตรง: ตรวจการอัปเดต</v>
      </c>
      <c r="H5" s="12" t="s">
        <v>143</v>
      </c>
      <c r="I5" s="12" t="s">
        <v>144</v>
      </c>
    </row>
    <row r="6" customFormat="false" ht="21.75" hidden="false" customHeight="true" outlineLevel="0" collapsed="false">
      <c r="A6" s="9" t="n">
        <v>0.5</v>
      </c>
      <c r="B6" s="24" t="n">
        <f aca="false">คำนวณ!$B$22</f>
        <v>0.472916666666667</v>
      </c>
      <c r="C6" s="10" t="n">
        <f aca="false">IF(OR(A6="",B6=""),"",ROUND((A6-B6)*1440,0))</f>
        <v>39</v>
      </c>
      <c r="D6" s="31" t="n">
        <v>1.6</v>
      </c>
      <c r="E6" s="32" t="n">
        <f aca="false">IF(C6="","",C6*60*คำนวณ!$B$23/คำนวณ!$B$4)</f>
        <v>1.62128571428571</v>
      </c>
      <c r="F6" s="33" t="n">
        <f aca="false">IF(OR(D6="",E6=""),"",D6-E6)</f>
        <v>-0.0212857142857139</v>
      </c>
      <c r="G6" s="10" t="str">
        <f aca="false">IF(F6="","",IF(ABS(F6)&lt;=0.03,"ตรง","ไม่ตรง: ตรวจการอัปเดต"))</f>
        <v>ตรง</v>
      </c>
      <c r="H6" s="12" t="s">
        <v>41</v>
      </c>
      <c r="I6" s="12" t="s">
        <v>145</v>
      </c>
    </row>
    <row r="7" customFormat="false" ht="23.85" hidden="false" customHeight="false" outlineLevel="0" collapsed="false">
      <c r="A7" s="9" t="n">
        <v>0.652083333333333</v>
      </c>
      <c r="B7" s="24" t="n">
        <v>0.650694444444445</v>
      </c>
      <c r="C7" s="10" t="n">
        <f aca="false">IF(OR(A7="",B7=""),"",ROUND((A7-B7)*1440,0))</f>
        <v>2</v>
      </c>
      <c r="D7" s="31" t="n">
        <v>0.02</v>
      </c>
      <c r="E7" s="32" t="n">
        <f aca="false">IF(C7="","",C7*60*(3*คำนวณ!$B$7)/คำนวณ!$B$4)</f>
        <v>0.0257142857142857</v>
      </c>
      <c r="F7" s="33" t="n">
        <f aca="false">IF(OR(D7="",E7=""),"",D7-E7)</f>
        <v>-0.00571428571428572</v>
      </c>
      <c r="G7" s="10" t="str">
        <f aca="false">IF(F7="","",IF(ABS(F7)&lt;=0.03,"ตรง","ไม่ตรง: ตรวจการอัปเดต"))</f>
        <v>ตรง</v>
      </c>
      <c r="H7" s="12" t="s">
        <v>41</v>
      </c>
      <c r="I7" s="12" t="s">
        <v>146</v>
      </c>
    </row>
    <row r="9" customFormat="false" ht="15" hidden="false" customHeight="true" outlineLevel="0" collapsed="false">
      <c r="A9" s="3" t="s">
        <v>147</v>
      </c>
    </row>
    <row r="10" customFormat="false" ht="15" hidden="false" customHeight="true" outlineLevel="0" collapsed="false">
      <c r="A1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9"/>
    <col collapsed="false" customWidth="true" hidden="false" outlineLevel="0" max="3" min="3" style="1" width="13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10" min="9" style="1" width="20"/>
    <col collapsed="false" customWidth="true" hidden="false" outlineLevel="0" max="11" min="11" style="1" width="60"/>
  </cols>
  <sheetData>
    <row r="1" customFormat="false" ht="24" hidden="false" customHeight="true" outlineLevel="0" collapsed="false">
      <c r="A1" s="2" t="s">
        <v>148</v>
      </c>
    </row>
    <row r="2" customFormat="false" ht="15" hidden="false" customHeight="true" outlineLevel="0" collapsed="false">
      <c r="A2" s="3" t="s">
        <v>149</v>
      </c>
    </row>
    <row r="4" customFormat="false" ht="23.25" hidden="false" customHeight="true" outlineLevel="0" collapsed="false">
      <c r="A4" s="7" t="s">
        <v>150</v>
      </c>
      <c r="B4" s="7" t="s">
        <v>151</v>
      </c>
      <c r="C4" s="7" t="s">
        <v>108</v>
      </c>
      <c r="D4" s="7" t="s">
        <v>152</v>
      </c>
      <c r="E4" s="7" t="s">
        <v>153</v>
      </c>
      <c r="F4" s="7" t="s">
        <v>154</v>
      </c>
      <c r="G4" s="7" t="s">
        <v>155</v>
      </c>
      <c r="H4" s="7" t="s">
        <v>156</v>
      </c>
      <c r="I4" s="7" t="s">
        <v>157</v>
      </c>
      <c r="J4" s="7" t="s">
        <v>158</v>
      </c>
      <c r="K4" s="7" t="s">
        <v>24</v>
      </c>
    </row>
    <row r="5" customFormat="false" ht="15" hidden="false" customHeight="true" outlineLevel="0" collapsed="false">
      <c r="A5" s="29" t="s">
        <v>159</v>
      </c>
      <c r="B5" s="29" t="s">
        <v>160</v>
      </c>
      <c r="C5" s="29" t="s">
        <v>41</v>
      </c>
      <c r="D5" s="29" t="s">
        <v>41</v>
      </c>
      <c r="E5" s="29" t="s">
        <v>161</v>
      </c>
      <c r="F5" s="31" t="n">
        <v>1</v>
      </c>
      <c r="G5" s="29" t="s">
        <v>41</v>
      </c>
      <c r="H5" s="29" t="s">
        <v>41</v>
      </c>
      <c r="I5" s="29" t="s">
        <v>41</v>
      </c>
      <c r="J5" s="29" t="s">
        <v>41</v>
      </c>
      <c r="K5" s="12" t="s">
        <v>162</v>
      </c>
    </row>
    <row r="6" customFormat="false" ht="15" hidden="false" customHeight="true" outlineLevel="0" collapsed="false">
      <c r="A6" s="29" t="s">
        <v>163</v>
      </c>
      <c r="B6" s="29" t="s">
        <v>164</v>
      </c>
      <c r="C6" s="29" t="s">
        <v>121</v>
      </c>
      <c r="D6" s="29" t="s">
        <v>165</v>
      </c>
      <c r="E6" s="29" t="s">
        <v>161</v>
      </c>
      <c r="F6" s="31" t="n">
        <v>1</v>
      </c>
      <c r="G6" s="29" t="s">
        <v>166</v>
      </c>
      <c r="H6" s="31" t="n">
        <v>0.97</v>
      </c>
      <c r="I6" s="29" t="s">
        <v>122</v>
      </c>
      <c r="J6" s="29" t="s">
        <v>167</v>
      </c>
      <c r="K6" s="12" t="s">
        <v>168</v>
      </c>
    </row>
    <row r="7" customFormat="false" ht="15" hidden="false" customHeight="true" outlineLevel="0" collapsed="false">
      <c r="A7" s="29" t="s">
        <v>169</v>
      </c>
      <c r="B7" s="29" t="s">
        <v>164</v>
      </c>
      <c r="C7" s="29" t="s">
        <v>121</v>
      </c>
      <c r="D7" s="29" t="s">
        <v>170</v>
      </c>
      <c r="E7" s="29" t="s">
        <v>161</v>
      </c>
      <c r="F7" s="31" t="n">
        <v>1</v>
      </c>
      <c r="G7" s="29" t="s">
        <v>166</v>
      </c>
      <c r="H7" s="31" t="n">
        <v>0.86</v>
      </c>
      <c r="I7" s="29" t="s">
        <v>122</v>
      </c>
      <c r="J7" s="29" t="s">
        <v>167</v>
      </c>
      <c r="K7" s="12"/>
    </row>
    <row r="8" customFormat="false" ht="21.75" hidden="false" customHeight="true" outlineLevel="0" collapsed="false">
      <c r="A8" s="29" t="s">
        <v>171</v>
      </c>
      <c r="B8" s="29" t="s">
        <v>164</v>
      </c>
      <c r="C8" s="35"/>
      <c r="D8" s="35"/>
      <c r="E8" s="35"/>
      <c r="F8" s="35"/>
      <c r="G8" s="35"/>
      <c r="H8" s="35"/>
      <c r="I8" s="29" t="s">
        <v>172</v>
      </c>
      <c r="J8" s="35"/>
      <c r="K8" s="12" t="s">
        <v>173</v>
      </c>
    </row>
    <row r="10" customFormat="false" ht="15" hidden="false" customHeight="true" outlineLevel="0" collapsed="false">
      <c r="A10" s="14" t="s">
        <v>174</v>
      </c>
    </row>
    <row r="11" customFormat="false" ht="15" hidden="false" customHeight="true" outlineLevel="0" collapsed="false">
      <c r="A11" s="36" t="s">
        <v>175</v>
      </c>
      <c r="B11" s="14" t="n">
        <v>4</v>
      </c>
      <c r="C11" s="37" t="s">
        <v>176</v>
      </c>
      <c r="D11" s="14" t="n">
        <v>4</v>
      </c>
    </row>
    <row r="12" customFormat="false" ht="15" hidden="false" customHeight="true" outlineLevel="0" collapsed="false">
      <c r="A12" s="36" t="s">
        <v>177</v>
      </c>
    </row>
    <row r="13" customFormat="false" ht="15" hidden="false" customHeight="true" outlineLevel="0" collapsed="false">
      <c r="A13" s="36" t="s">
        <v>178</v>
      </c>
    </row>
    <row r="14" customFormat="false" ht="15" hidden="false" customHeight="true" outlineLevel="0" collapsed="false">
      <c r="A14" s="36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38"/>
    <col collapsed="false" customWidth="true" hidden="false" outlineLevel="0" max="4" min="4" style="1" width="44"/>
    <col collapsed="false" customWidth="true" hidden="false" outlineLevel="0" max="5" min="5" style="1" width="36"/>
    <col collapsed="false" customWidth="true" hidden="false" outlineLevel="0" max="6" min="6" style="1" width="70"/>
    <col collapsed="false" customWidth="true" hidden="false" outlineLevel="0" max="7" min="7" style="1" width="24"/>
  </cols>
  <sheetData>
    <row r="1" customFormat="false" ht="24" hidden="false" customHeight="true" outlineLevel="0" collapsed="false">
      <c r="A1" s="2" t="s">
        <v>180</v>
      </c>
    </row>
    <row r="2" customFormat="false" ht="15" hidden="false" customHeight="true" outlineLevel="0" collapsed="false">
      <c r="A2" s="3" t="s">
        <v>181</v>
      </c>
    </row>
    <row r="4" customFormat="false" ht="15" hidden="false" customHeight="true" outlineLevel="0" collapsed="false">
      <c r="A4" s="7" t="s">
        <v>182</v>
      </c>
      <c r="B4" s="7" t="s">
        <v>183</v>
      </c>
      <c r="C4" s="7" t="s">
        <v>184</v>
      </c>
      <c r="D4" s="7" t="s">
        <v>185</v>
      </c>
      <c r="E4" s="7" t="s">
        <v>186</v>
      </c>
      <c r="F4" s="7" t="s">
        <v>187</v>
      </c>
      <c r="G4" s="7" t="s">
        <v>141</v>
      </c>
    </row>
    <row r="5" customFormat="false" ht="46.25" hidden="false" customHeight="false" outlineLevel="0" collapsed="false">
      <c r="A5" s="29" t="n">
        <v>1</v>
      </c>
      <c r="B5" s="29" t="s">
        <v>188</v>
      </c>
      <c r="C5" s="12" t="s">
        <v>189</v>
      </c>
      <c r="D5" s="12" t="s">
        <v>190</v>
      </c>
      <c r="E5" s="12" t="s">
        <v>191</v>
      </c>
      <c r="F5" s="12" t="s">
        <v>192</v>
      </c>
      <c r="G5" s="12" t="s">
        <v>193</v>
      </c>
    </row>
    <row r="6" customFormat="false" ht="35.05" hidden="false" customHeight="false" outlineLevel="0" collapsed="false">
      <c r="A6" s="29" t="n">
        <v>2</v>
      </c>
      <c r="B6" s="29" t="s">
        <v>188</v>
      </c>
      <c r="C6" s="12" t="s">
        <v>194</v>
      </c>
      <c r="D6" s="12" t="s">
        <v>195</v>
      </c>
      <c r="E6" s="12" t="s">
        <v>196</v>
      </c>
      <c r="F6" s="12" t="s">
        <v>197</v>
      </c>
      <c r="G6" s="12" t="s">
        <v>198</v>
      </c>
    </row>
    <row r="7" customFormat="false" ht="33.55" hidden="false" customHeight="false" outlineLevel="0" collapsed="false">
      <c r="A7" s="29" t="n">
        <v>3</v>
      </c>
      <c r="B7" s="29" t="s">
        <v>188</v>
      </c>
      <c r="C7" s="12" t="s">
        <v>199</v>
      </c>
      <c r="D7" s="12" t="s">
        <v>200</v>
      </c>
      <c r="E7" s="12" t="s">
        <v>201</v>
      </c>
      <c r="F7" s="12" t="s">
        <v>202</v>
      </c>
      <c r="G7" s="12" t="s">
        <v>203</v>
      </c>
    </row>
    <row r="8" customFormat="false" ht="33" hidden="false" customHeight="true" outlineLevel="0" collapsed="false">
      <c r="A8" s="29" t="n">
        <v>4</v>
      </c>
      <c r="B8" s="29" t="s">
        <v>204</v>
      </c>
      <c r="C8" s="12" t="s">
        <v>205</v>
      </c>
      <c r="D8" s="12" t="s">
        <v>206</v>
      </c>
      <c r="E8" s="12" t="s">
        <v>207</v>
      </c>
      <c r="F8" s="12" t="s">
        <v>208</v>
      </c>
      <c r="G8" s="12" t="s">
        <v>209</v>
      </c>
    </row>
    <row r="9" customFormat="false" ht="23.25" hidden="false" customHeight="true" outlineLevel="0" collapsed="false">
      <c r="A9" s="29" t="n">
        <v>5</v>
      </c>
      <c r="B9" s="29" t="s">
        <v>210</v>
      </c>
      <c r="C9" s="12" t="s">
        <v>211</v>
      </c>
      <c r="D9" s="12" t="s">
        <v>212</v>
      </c>
      <c r="E9" s="12" t="s">
        <v>213</v>
      </c>
      <c r="F9" s="12" t="s">
        <v>214</v>
      </c>
      <c r="G9" s="11" t="s">
        <v>215</v>
      </c>
    </row>
    <row r="10" customFormat="false" ht="23.25" hidden="false" customHeight="true" outlineLevel="0" collapsed="false">
      <c r="A10" s="29" t="n">
        <v>6</v>
      </c>
      <c r="B10" s="29" t="s">
        <v>210</v>
      </c>
      <c r="C10" s="12" t="s">
        <v>216</v>
      </c>
      <c r="D10" s="12" t="s">
        <v>217</v>
      </c>
      <c r="E10" s="12" t="s">
        <v>218</v>
      </c>
      <c r="F10" s="12" t="s">
        <v>219</v>
      </c>
      <c r="G10" s="11" t="s">
        <v>220</v>
      </c>
    </row>
    <row r="11" customFormat="false" ht="21.75" hidden="false" customHeight="true" outlineLevel="0" collapsed="false">
      <c r="A11" s="29" t="n">
        <v>7</v>
      </c>
      <c r="B11" s="29" t="s">
        <v>174</v>
      </c>
      <c r="C11" s="12" t="s">
        <v>221</v>
      </c>
      <c r="D11" s="12" t="s">
        <v>222</v>
      </c>
      <c r="E11" s="12" t="s">
        <v>223</v>
      </c>
      <c r="F11" s="12" t="s">
        <v>224</v>
      </c>
      <c r="G11" s="11" t="s">
        <v>225</v>
      </c>
    </row>
    <row r="12" customFormat="false" ht="23.25" hidden="false" customHeight="true" outlineLevel="0" collapsed="false">
      <c r="A12" s="29" t="n">
        <v>8</v>
      </c>
      <c r="B12" s="29" t="s">
        <v>226</v>
      </c>
      <c r="C12" s="12" t="s">
        <v>227</v>
      </c>
      <c r="D12" s="12" t="s">
        <v>228</v>
      </c>
      <c r="E12" s="12" t="s">
        <v>229</v>
      </c>
      <c r="F12" s="12" t="s">
        <v>230</v>
      </c>
      <c r="G12" s="11" t="s">
        <v>231</v>
      </c>
    </row>
    <row r="13" customFormat="false" ht="35.05" hidden="false" customHeight="false" outlineLevel="0" collapsed="false">
      <c r="A13" s="29" t="n">
        <v>9</v>
      </c>
      <c r="B13" s="29" t="s">
        <v>188</v>
      </c>
      <c r="C13" s="12" t="s">
        <v>232</v>
      </c>
      <c r="D13" s="12" t="s">
        <v>233</v>
      </c>
      <c r="E13" s="12" t="s">
        <v>234</v>
      </c>
      <c r="F13" s="12" t="s">
        <v>235</v>
      </c>
      <c r="G13" s="12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2026-10-04T03:24:22Z</dcterms:created>
  <dc:creator>openpyxl</dc:creator>
  <dc:description/>
  <dc:language>en-US</dc:language>
  <cp:lastModifiedBy/>
  <dcterms:modified xsi:type="dcterms:W3CDTF">2026-10-04T09:58:28Z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